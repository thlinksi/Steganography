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Стег\"/>
    </mc:Choice>
  </mc:AlternateContent>
  <xr:revisionPtr revIDLastSave="0" documentId="8_{58509293-DED1-4E18-8217-F9CE805EBB63}" xr6:coauthVersionLast="47" xr6:coauthVersionMax="47" xr10:uidLastSave="{00000000-0000-0000-0000-000000000000}"/>
  <bookViews>
    <workbookView xWindow="-108" yWindow="-108" windowWidth="23256" windowHeight="13896" xr2:uid="{76CDF2CF-E916-4A9C-A713-CFEBD010E937}"/>
  </bookViews>
  <sheets>
    <sheet name="Orig" sheetId="1" r:id="rId1"/>
    <sheet name="Test 1" sheetId="2" r:id="rId2"/>
    <sheet name="Test 2" sheetId="4" r:id="rId3"/>
    <sheet name="Test 3" sheetId="5" r:id="rId4"/>
    <sheet name="Test 4" sheetId="6" r:id="rId5"/>
    <sheet name="Test 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C10" i="1"/>
  <c r="C11" i="1" s="1"/>
  <c r="C8" i="1"/>
  <c r="D8" i="1" s="1"/>
  <c r="G16" i="2"/>
  <c r="G15" i="2"/>
  <c r="G14" i="2"/>
  <c r="G13" i="2"/>
  <c r="G12" i="2"/>
  <c r="G11" i="2"/>
  <c r="C10" i="2"/>
  <c r="C11" i="2" s="1"/>
  <c r="C8" i="2"/>
  <c r="D8" i="2" s="1"/>
  <c r="G16" i="7"/>
  <c r="G15" i="7"/>
  <c r="G14" i="7"/>
  <c r="G13" i="7"/>
  <c r="G12" i="7"/>
  <c r="G11" i="7"/>
  <c r="C10" i="7"/>
  <c r="C12" i="7" s="1"/>
  <c r="C8" i="7"/>
  <c r="D8" i="7" s="1"/>
  <c r="G16" i="6"/>
  <c r="G15" i="6"/>
  <c r="G14" i="6"/>
  <c r="G13" i="6"/>
  <c r="G12" i="6"/>
  <c r="G11" i="6"/>
  <c r="C10" i="6"/>
  <c r="C12" i="6" s="1"/>
  <c r="C8" i="6"/>
  <c r="D8" i="6" s="1"/>
  <c r="G16" i="5"/>
  <c r="G15" i="5"/>
  <c r="G14" i="5"/>
  <c r="G13" i="5"/>
  <c r="G12" i="5"/>
  <c r="G11" i="5"/>
  <c r="C10" i="5"/>
  <c r="C12" i="5" s="1"/>
  <c r="C8" i="5"/>
  <c r="D8" i="5" s="1"/>
  <c r="G16" i="4"/>
  <c r="G15" i="4"/>
  <c r="G14" i="4"/>
  <c r="G13" i="4"/>
  <c r="G12" i="4"/>
  <c r="G11" i="4"/>
  <c r="C10" i="4"/>
  <c r="C11" i="4" s="1"/>
  <c r="C8" i="4"/>
  <c r="D8" i="4" s="1"/>
  <c r="C13" i="1" l="1"/>
  <c r="C14" i="1" s="1"/>
  <c r="C12" i="1"/>
  <c r="C13" i="2"/>
  <c r="C14" i="2" s="1"/>
  <c r="C12" i="2"/>
  <c r="C11" i="7"/>
  <c r="C13" i="7" s="1"/>
  <c r="C14" i="7" s="1"/>
  <c r="C15" i="7" s="1"/>
  <c r="C17" i="7" s="1"/>
  <c r="C11" i="6"/>
  <c r="C13" i="6" s="1"/>
  <c r="C14" i="6" s="1"/>
  <c r="C15" i="6" s="1"/>
  <c r="C17" i="6" s="1"/>
  <c r="C11" i="5"/>
  <c r="C13" i="5" s="1"/>
  <c r="C14" i="5" s="1"/>
  <c r="C15" i="5" s="1"/>
  <c r="C17" i="5" s="1"/>
  <c r="C13" i="4"/>
  <c r="C14" i="4" s="1"/>
  <c r="C12" i="4"/>
  <c r="C15" i="1" l="1"/>
  <c r="C17" i="1" s="1"/>
  <c r="C18" i="1" s="1"/>
  <c r="C15" i="2"/>
  <c r="C17" i="2" s="1"/>
  <c r="C18" i="2" s="1"/>
  <c r="C19" i="2"/>
  <c r="F4" i="2" s="1"/>
  <c r="C18" i="7"/>
  <c r="B23" i="7" s="1"/>
  <c r="C19" i="7"/>
  <c r="F4" i="7" s="1"/>
  <c r="C18" i="6"/>
  <c r="F3" i="6" s="1"/>
  <c r="C19" i="6"/>
  <c r="F4" i="6" s="1"/>
  <c r="C18" i="5"/>
  <c r="B23" i="5" s="1"/>
  <c r="C19" i="5"/>
  <c r="F4" i="5" s="1"/>
  <c r="C15" i="4"/>
  <c r="C17" i="4" s="1"/>
  <c r="C18" i="4" s="1"/>
  <c r="B23" i="1" l="1"/>
  <c r="F3" i="1"/>
  <c r="C19" i="1"/>
  <c r="F4" i="1" s="1"/>
  <c r="C23" i="1"/>
  <c r="D23" i="1" s="1"/>
  <c r="B23" i="2"/>
  <c r="F3" i="2"/>
  <c r="C23" i="2"/>
  <c r="F3" i="7"/>
  <c r="C23" i="7"/>
  <c r="D23" i="7" s="1"/>
  <c r="B23" i="6"/>
  <c r="C23" i="6"/>
  <c r="D23" i="6" s="1"/>
  <c r="C23" i="5"/>
  <c r="D23" i="5" s="1"/>
  <c r="G23" i="5" s="1"/>
  <c r="F3" i="5"/>
  <c r="C19" i="4"/>
  <c r="F4" i="4" s="1"/>
  <c r="B23" i="4"/>
  <c r="F3" i="4"/>
  <c r="C23" i="4"/>
  <c r="D23" i="4" s="1"/>
  <c r="E23" i="4" s="1"/>
  <c r="F23" i="4" s="1"/>
  <c r="G23" i="1" l="1"/>
  <c r="E23" i="1"/>
  <c r="F23" i="1" s="1"/>
  <c r="D23" i="2"/>
  <c r="E23" i="2" s="1"/>
  <c r="F23" i="2" s="1"/>
  <c r="E23" i="7"/>
  <c r="F23" i="7" s="1"/>
  <c r="G23" i="7"/>
  <c r="G23" i="6"/>
  <c r="E23" i="6"/>
  <c r="F23" i="6" s="1"/>
  <c r="E23" i="5"/>
  <c r="F23" i="5" s="1"/>
  <c r="H23" i="5"/>
  <c r="G23" i="4"/>
  <c r="H23" i="4" s="1"/>
  <c r="H23" i="1" l="1"/>
  <c r="G23" i="2"/>
  <c r="H23" i="2" s="1"/>
  <c r="H23" i="7"/>
  <c r="H23" i="6"/>
</calcChain>
</file>

<file path=xl/sharedStrings.xml><?xml version="1.0" encoding="utf-8"?>
<sst xmlns="http://schemas.openxmlformats.org/spreadsheetml/2006/main" count="138" uniqueCount="27">
  <si>
    <t>Pixel 1</t>
  </si>
  <si>
    <t>Pixel 2</t>
  </si>
  <si>
    <t>Pixel 1_new</t>
  </si>
  <si>
    <t>Pixel 2_new</t>
  </si>
  <si>
    <t>Message</t>
  </si>
  <si>
    <t>ASCII</t>
  </si>
  <si>
    <t>Binary</t>
  </si>
  <si>
    <t>D</t>
  </si>
  <si>
    <t>d</t>
  </si>
  <si>
    <t>n (bits)</t>
  </si>
  <si>
    <t>Lower</t>
  </si>
  <si>
    <t>First n bits</t>
  </si>
  <si>
    <t>(decimal)</t>
  </si>
  <si>
    <t>d_new</t>
  </si>
  <si>
    <t>m</t>
  </si>
  <si>
    <t>delta p1</t>
  </si>
  <si>
    <t>delta p2</t>
  </si>
  <si>
    <t>Upper</t>
  </si>
  <si>
    <t>Bits</t>
  </si>
  <si>
    <t>Hide</t>
  </si>
  <si>
    <t>Extract</t>
  </si>
  <si>
    <t>Bubon Lina</t>
  </si>
  <si>
    <t>A</t>
  </si>
  <si>
    <t>M</t>
  </si>
  <si>
    <t>r</t>
  </si>
  <si>
    <t>S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</si>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</sst>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/>
    </xf>
    <xf numFmtId="0" fontId="0" fillId="0" borderId="0" xfId="0" applyAlignment="1">
      <alignment horizontal="left"/>
    </xf>
  </cellXfs>
  <cellStyles count="2">
    <cellStyle name="Звичайний" xfId="0" builtinId="0"/>
    <cellStyle name="Результат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6831-A4E7-43BC-8BF4-87307263CED7}">
  <dimension ref="A1:H23"/>
  <sheetViews>
    <sheetView tabSelected="1" workbookViewId="0">
      <selection activeCell="K21" sqref="K21"/>
    </sheetView>
  </sheetViews>
  <sheetFormatPr defaultRowHeight="14.4" x14ac:dyDescent="0.3"/>
  <cols>
    <col min="1" max="1" width="13" style="1" customWidth="1"/>
    <col min="2" max="4" width="8.88671875" style="1"/>
    <col min="5" max="5" width="11.6640625" style="1" customWidth="1"/>
    <col min="6" max="16384" width="8.88671875" style="1"/>
  </cols>
  <sheetData>
    <row r="1" spans="1:7" x14ac:dyDescent="0.3">
      <c r="A1" s="1" t="s">
        <v>21</v>
      </c>
    </row>
    <row r="2" spans="1:7" x14ac:dyDescent="0.3">
      <c r="B2" s="3" t="s">
        <v>19</v>
      </c>
    </row>
    <row r="3" spans="1:7" x14ac:dyDescent="0.3">
      <c r="B3" s="2" t="s">
        <v>0</v>
      </c>
      <c r="C3" s="2">
        <v>150</v>
      </c>
      <c r="E3" s="2" t="s">
        <v>2</v>
      </c>
      <c r="F3" s="2">
        <f>MAX(0,MIN(255,IF(C17&gt;0,IF(C4&gt;=C3,C3-C18,C3+C18),IF(C17&lt;0,IF(C4&gt;=C3,C3+C18,C3-C18),C3))))</f>
        <v>148</v>
      </c>
    </row>
    <row r="4" spans="1:7" x14ac:dyDescent="0.3">
      <c r="B4" s="2" t="s">
        <v>1</v>
      </c>
      <c r="C4" s="2">
        <v>185</v>
      </c>
      <c r="E4" s="2" t="s">
        <v>3</v>
      </c>
      <c r="F4" s="2">
        <f>MAX(0,MIN(255,IF(C17&gt;0,IF(C4&gt;=C3,C4+C19,C4-C19),IF(C17&lt;0,IF(C4&gt;=C3,C4-C19,C4+C19),C4))))</f>
        <v>188</v>
      </c>
    </row>
    <row r="7" spans="1:7" x14ac:dyDescent="0.3">
      <c r="B7" s="2" t="s">
        <v>4</v>
      </c>
      <c r="C7" s="2" t="s">
        <v>5</v>
      </c>
      <c r="D7" s="2" t="s">
        <v>6</v>
      </c>
    </row>
    <row r="8" spans="1:7" x14ac:dyDescent="0.3">
      <c r="B8" s="2" t="s">
        <v>7</v>
      </c>
      <c r="C8" s="2">
        <f>CODE(B8)</f>
        <v>68</v>
      </c>
      <c r="D8" s="2" t="str">
        <f>DEC2BIN(C8,8)</f>
        <v>01000100</v>
      </c>
    </row>
    <row r="10" spans="1:7" x14ac:dyDescent="0.3">
      <c r="B10" s="2" t="s">
        <v>8</v>
      </c>
      <c r="C10" s="2">
        <f>ABS(C4-C3)</f>
        <v>35</v>
      </c>
      <c r="E10" s="2" t="s">
        <v>10</v>
      </c>
      <c r="F10" s="2" t="s">
        <v>17</v>
      </c>
      <c r="G10" s="2" t="s">
        <v>18</v>
      </c>
    </row>
    <row r="11" spans="1:7" x14ac:dyDescent="0.3">
      <c r="B11" s="2" t="s">
        <v>9</v>
      </c>
      <c r="C11" s="2">
        <f>INDEX($G$11:$G$16,MATCH(C10,$E$11:$E$16,1))</f>
        <v>5</v>
      </c>
      <c r="E11" s="2">
        <v>0</v>
      </c>
      <c r="F11" s="2">
        <v>7</v>
      </c>
      <c r="G11" s="2">
        <f>LOG(F11-E11+1,2)</f>
        <v>3</v>
      </c>
    </row>
    <row r="12" spans="1:7" x14ac:dyDescent="0.3">
      <c r="B12" s="2" t="s">
        <v>10</v>
      </c>
      <c r="C12" s="2">
        <f>INDEX($E$11:$E$16,MATCH(C10,$E$11:$E$16,1))</f>
        <v>32</v>
      </c>
      <c r="E12" s="2">
        <v>8</v>
      </c>
      <c r="F12" s="2">
        <v>15</v>
      </c>
      <c r="G12" s="2">
        <f t="shared" ref="G12:G16" si="0">LOG(F12-E12+1,2)</f>
        <v>3</v>
      </c>
    </row>
    <row r="13" spans="1:7" x14ac:dyDescent="0.3">
      <c r="B13" s="2" t="s">
        <v>11</v>
      </c>
      <c r="C13" s="2" t="str">
        <f>LEFT(D8,C11)</f>
        <v>01000</v>
      </c>
      <c r="E13" s="2">
        <v>16</v>
      </c>
      <c r="F13" s="2">
        <v>31</v>
      </c>
      <c r="G13" s="2">
        <f t="shared" si="0"/>
        <v>4</v>
      </c>
    </row>
    <row r="14" spans="1:7" x14ac:dyDescent="0.3">
      <c r="B14" s="2" t="s">
        <v>12</v>
      </c>
      <c r="C14" s="2">
        <f>BIN2DEC(C13)</f>
        <v>8</v>
      </c>
      <c r="E14" s="2">
        <v>32</v>
      </c>
      <c r="F14" s="2">
        <v>63</v>
      </c>
      <c r="G14" s="2">
        <f t="shared" si="0"/>
        <v>5</v>
      </c>
    </row>
    <row r="15" spans="1:7" x14ac:dyDescent="0.3">
      <c r="B15" s="2" t="s">
        <v>13</v>
      </c>
      <c r="C15" s="2">
        <f>C12+C14</f>
        <v>40</v>
      </c>
      <c r="E15" s="2">
        <v>64</v>
      </c>
      <c r="F15" s="2">
        <v>127</v>
      </c>
      <c r="G15" s="2">
        <f t="shared" si="0"/>
        <v>6</v>
      </c>
    </row>
    <row r="16" spans="1:7" x14ac:dyDescent="0.3">
      <c r="E16" s="2">
        <v>128</v>
      </c>
      <c r="F16" s="2">
        <v>255</v>
      </c>
      <c r="G16" s="2">
        <f t="shared" si="0"/>
        <v>7</v>
      </c>
    </row>
    <row r="17" spans="2:8" x14ac:dyDescent="0.3">
      <c r="B17" s="2" t="s">
        <v>14</v>
      </c>
      <c r="C17" s="2">
        <f>C15-C10</f>
        <v>5</v>
      </c>
      <c r="E17"/>
      <c r="F17"/>
      <c r="G17"/>
    </row>
    <row r="18" spans="2:8" x14ac:dyDescent="0.3">
      <c r="B18" s="2" t="s">
        <v>15</v>
      </c>
      <c r="C18" s="2">
        <f>IF(C17&lt;&gt;0,FLOOR(ABS(C17)/2,1),0)</f>
        <v>2</v>
      </c>
      <c r="E18"/>
      <c r="F18"/>
      <c r="G18"/>
    </row>
    <row r="19" spans="2:8" x14ac:dyDescent="0.3">
      <c r="B19" s="2" t="s">
        <v>16</v>
      </c>
      <c r="C19" s="2">
        <f>IF(C17&lt;&gt;0,CEILING(ABS(C17)/2,1),0)</f>
        <v>3</v>
      </c>
      <c r="E19"/>
      <c r="F19"/>
      <c r="G19"/>
    </row>
    <row r="22" spans="2:8" x14ac:dyDescent="0.3">
      <c r="B22" s="3" t="s">
        <v>20</v>
      </c>
    </row>
    <row r="23" spans="2:8" x14ac:dyDescent="0.3">
      <c r="B23" s="2">
        <f>MAX(0,MIN(255,IF(C17&gt;0,IF(C4&gt;=C3,C3-C18,C3+C18),IF(C17&lt;0,IF(C4&gt;=C3,C3+C18,C3-C18),C3))))</f>
        <v>148</v>
      </c>
      <c r="C23" s="2">
        <f>MAX(0,MIN(255,IF(C17&gt;0,IF(C4&gt;=C3,C4+C19,C4-C19),IF(C17&lt;0,IF(C4&gt;=C3,C4-C19,C4+C19),C4))))</f>
        <v>188</v>
      </c>
      <c r="D23" s="2">
        <f>ABS(C23-B23)</f>
        <v>40</v>
      </c>
      <c r="E23" s="2">
        <f>INDEX($E$11:$E$16,MATCH(D23,$E$11:$E$16,1))</f>
        <v>32</v>
      </c>
      <c r="F23" s="2">
        <f>D23-E23</f>
        <v>8</v>
      </c>
      <c r="G23" s="2">
        <f>INDEX($G$11:$G$16,MATCH(D23,$E$11:$E$16,1))</f>
        <v>5</v>
      </c>
      <c r="H23" s="2" t="str">
        <f>DEC2BIN(F23,G23)</f>
        <v>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E644-648F-4E2C-8B8D-3C08E28DD531}">
  <dimension ref="A1:H23"/>
  <sheetViews>
    <sheetView workbookViewId="0">
      <selection activeCell="H23" sqref="A1:H23"/>
    </sheetView>
  </sheetViews>
  <sheetFormatPr defaultRowHeight="14.4" x14ac:dyDescent="0.3"/>
  <cols>
    <col min="1" max="1" width="13" customWidth="1"/>
    <col min="5" max="5" width="11.6640625" customWidth="1"/>
  </cols>
  <sheetData>
    <row r="1" spans="1:8" x14ac:dyDescent="0.3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3" t="s">
        <v>19</v>
      </c>
      <c r="C2" s="1"/>
      <c r="D2" s="1"/>
      <c r="E2" s="1"/>
      <c r="F2" s="1"/>
      <c r="G2" s="1"/>
      <c r="H2" s="1"/>
    </row>
    <row r="3" spans="1:8" x14ac:dyDescent="0.3">
      <c r="A3" s="1"/>
      <c r="B3" s="2" t="s">
        <v>0</v>
      </c>
      <c r="C3" s="2">
        <v>26</v>
      </c>
      <c r="D3" s="1"/>
      <c r="E3" s="2" t="s">
        <v>2</v>
      </c>
      <c r="F3" s="2">
        <f>MAX(0,MIN(255,IF(C17&gt;0,IF(C4&gt;=C3,C3-C18,C3+C18),IF(C17&lt;0,IF(C4&gt;=C3,C3+C18,C3-C18),C3))))</f>
        <v>27</v>
      </c>
      <c r="G3" s="1"/>
      <c r="H3" s="1"/>
    </row>
    <row r="4" spans="1:8" x14ac:dyDescent="0.3">
      <c r="A4" s="1"/>
      <c r="B4" s="2" t="s">
        <v>1</v>
      </c>
      <c r="C4" s="2">
        <v>30</v>
      </c>
      <c r="D4" s="1"/>
      <c r="E4" s="2" t="s">
        <v>3</v>
      </c>
      <c r="F4" s="2">
        <f>MAX(0,MIN(255,IF(C17&gt;0,IF(C4&gt;=C3,C4+C19,C4-C19),IF(C17&lt;0,IF(C4&gt;=C3,C4-C19,C4+C19),C4))))</f>
        <v>29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2" t="s">
        <v>4</v>
      </c>
      <c r="C7" s="2" t="s">
        <v>5</v>
      </c>
      <c r="D7" s="2" t="s">
        <v>6</v>
      </c>
      <c r="E7" s="1"/>
      <c r="F7" s="1"/>
      <c r="G7" s="1"/>
      <c r="H7" s="1"/>
    </row>
    <row r="8" spans="1:8" x14ac:dyDescent="0.3">
      <c r="A8" s="1"/>
      <c r="B8" s="2" t="s">
        <v>22</v>
      </c>
      <c r="C8" s="2">
        <f>CODE(B8)</f>
        <v>65</v>
      </c>
      <c r="D8" s="2" t="str">
        <f>DEC2BIN(C8,8)</f>
        <v>01000001</v>
      </c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2" t="s">
        <v>8</v>
      </c>
      <c r="C10" s="2">
        <f>ABS(C4-C3)</f>
        <v>4</v>
      </c>
      <c r="D10" s="1"/>
      <c r="E10" s="2" t="s">
        <v>10</v>
      </c>
      <c r="F10" s="2" t="s">
        <v>17</v>
      </c>
      <c r="G10" s="2" t="s">
        <v>18</v>
      </c>
      <c r="H10" s="1"/>
    </row>
    <row r="11" spans="1:8" x14ac:dyDescent="0.3">
      <c r="A11" s="1"/>
      <c r="B11" s="2" t="s">
        <v>9</v>
      </c>
      <c r="C11" s="2">
        <f>INDEX($G$11:$G$16,MATCH(C10,$E$11:$E$16,1))</f>
        <v>3</v>
      </c>
      <c r="D11" s="1"/>
      <c r="E11" s="2">
        <v>0</v>
      </c>
      <c r="F11" s="2">
        <v>7</v>
      </c>
      <c r="G11" s="2">
        <f>LOG(F11-E11+1,2)</f>
        <v>3</v>
      </c>
      <c r="H11" s="1"/>
    </row>
    <row r="12" spans="1:8" x14ac:dyDescent="0.3">
      <c r="A12" s="1"/>
      <c r="B12" s="2" t="s">
        <v>10</v>
      </c>
      <c r="C12" s="2">
        <f>INDEX($E$11:$E$16,MATCH(C10,$E$11:$E$16,1))</f>
        <v>0</v>
      </c>
      <c r="D12" s="1"/>
      <c r="E12" s="2">
        <v>8</v>
      </c>
      <c r="F12" s="2">
        <v>15</v>
      </c>
      <c r="G12" s="2">
        <f t="shared" ref="G12:G16" si="0">LOG(F12-E12+1,2)</f>
        <v>3</v>
      </c>
      <c r="H12" s="1"/>
    </row>
    <row r="13" spans="1:8" x14ac:dyDescent="0.3">
      <c r="A13" s="1"/>
      <c r="B13" s="2" t="s">
        <v>11</v>
      </c>
      <c r="C13" s="2" t="str">
        <f>LEFT(D8,C11)</f>
        <v>010</v>
      </c>
      <c r="D13" s="1"/>
      <c r="E13" s="2">
        <v>16</v>
      </c>
      <c r="F13" s="2">
        <v>31</v>
      </c>
      <c r="G13" s="2">
        <f t="shared" si="0"/>
        <v>4</v>
      </c>
      <c r="H13" s="1"/>
    </row>
    <row r="14" spans="1:8" x14ac:dyDescent="0.3">
      <c r="A14" s="1"/>
      <c r="B14" s="2" t="s">
        <v>12</v>
      </c>
      <c r="C14" s="2">
        <f>BIN2DEC(C13)</f>
        <v>2</v>
      </c>
      <c r="D14" s="1"/>
      <c r="E14" s="2">
        <v>32</v>
      </c>
      <c r="F14" s="2">
        <v>63</v>
      </c>
      <c r="G14" s="2">
        <f t="shared" si="0"/>
        <v>5</v>
      </c>
      <c r="H14" s="1"/>
    </row>
    <row r="15" spans="1:8" x14ac:dyDescent="0.3">
      <c r="A15" s="1"/>
      <c r="B15" s="2" t="s">
        <v>13</v>
      </c>
      <c r="C15" s="2">
        <f>C12+C14</f>
        <v>2</v>
      </c>
      <c r="D15" s="1"/>
      <c r="E15" s="2">
        <v>64</v>
      </c>
      <c r="F15" s="2">
        <v>127</v>
      </c>
      <c r="G15" s="2">
        <f t="shared" si="0"/>
        <v>6</v>
      </c>
      <c r="H15" s="1"/>
    </row>
    <row r="16" spans="1:8" x14ac:dyDescent="0.3">
      <c r="A16" s="1"/>
      <c r="B16" s="1"/>
      <c r="C16" s="1"/>
      <c r="D16" s="1"/>
      <c r="E16" s="2">
        <v>128</v>
      </c>
      <c r="F16" s="2">
        <v>255</v>
      </c>
      <c r="G16" s="2">
        <f t="shared" si="0"/>
        <v>7</v>
      </c>
      <c r="H16" s="1"/>
    </row>
    <row r="17" spans="1:8" x14ac:dyDescent="0.3">
      <c r="A17" s="1"/>
      <c r="B17" s="2" t="s">
        <v>14</v>
      </c>
      <c r="C17" s="2">
        <f>C15-C10</f>
        <v>-2</v>
      </c>
      <c r="D17" s="1"/>
      <c r="H17" s="1"/>
    </row>
    <row r="18" spans="1:8" x14ac:dyDescent="0.3">
      <c r="A18" s="1"/>
      <c r="B18" s="2" t="s">
        <v>15</v>
      </c>
      <c r="C18" s="2">
        <f>IF(C17&lt;&gt;0,FLOOR(ABS(C17)/2,1),0)</f>
        <v>1</v>
      </c>
      <c r="D18" s="1"/>
      <c r="H18" s="1"/>
    </row>
    <row r="19" spans="1:8" x14ac:dyDescent="0.3">
      <c r="A19" s="1"/>
      <c r="B19" s="2" t="s">
        <v>16</v>
      </c>
      <c r="C19" s="2">
        <f>IF(C17&lt;&gt;0,CEILING(ABS(C17)/2,1),0)</f>
        <v>1</v>
      </c>
      <c r="D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3" t="s">
        <v>20</v>
      </c>
      <c r="C22" s="1"/>
      <c r="D22" s="1"/>
      <c r="E22" s="1"/>
      <c r="F22" s="1"/>
      <c r="G22" s="1"/>
      <c r="H22" s="1"/>
    </row>
    <row r="23" spans="1:8" x14ac:dyDescent="0.3">
      <c r="A23" s="1"/>
      <c r="B23" s="2">
        <f>MAX(0,MIN(255,IF(C17&gt;0,IF(C4&gt;=C3,C3-C18,C3+C18),IF(C17&lt;0,IF(C4&gt;=C3,C3+C18,C3-C18),C3))))</f>
        <v>27</v>
      </c>
      <c r="C23" s="2">
        <f>MAX(0,MIN(255,IF(C17&gt;0,IF(C4&gt;=C3,C4+C19,C4-C19),IF(C17&lt;0,IF(C4&gt;=C3,C4-C19,C4+C19),C4))))</f>
        <v>29</v>
      </c>
      <c r="D23" s="2">
        <f>ABS(C23-B23)</f>
        <v>2</v>
      </c>
      <c r="E23" s="2">
        <f>INDEX($E$11:$E$16,MATCH(D23,$E$11:$E$16,1))</f>
        <v>0</v>
      </c>
      <c r="F23" s="2">
        <f>D23-E23</f>
        <v>2</v>
      </c>
      <c r="G23" s="2">
        <f>INDEX($G$11:$G$16,MATCH(D23,$E$11:$E$16,1))</f>
        <v>3</v>
      </c>
      <c r="H23" s="2" t="str">
        <f>DEC2BIN(F23,G23)</f>
        <v>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9908-EF33-4BEE-ABA8-1D533A83936C}">
  <dimension ref="A1:H23"/>
  <sheetViews>
    <sheetView workbookViewId="0">
      <selection sqref="A1:H23"/>
    </sheetView>
  </sheetViews>
  <sheetFormatPr defaultRowHeight="14.4" x14ac:dyDescent="0.3"/>
  <cols>
    <col min="1" max="1" width="13" customWidth="1"/>
    <col min="5" max="5" width="11.6640625" customWidth="1"/>
  </cols>
  <sheetData>
    <row r="1" spans="1:8" x14ac:dyDescent="0.3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3" t="s">
        <v>19</v>
      </c>
      <c r="C2" s="1"/>
      <c r="D2" s="1"/>
      <c r="E2" s="1"/>
      <c r="F2" s="1"/>
      <c r="G2" s="1"/>
      <c r="H2" s="1"/>
    </row>
    <row r="3" spans="1:8" x14ac:dyDescent="0.3">
      <c r="A3" s="1"/>
      <c r="B3" s="2" t="s">
        <v>0</v>
      </c>
      <c r="C3" s="2">
        <v>125</v>
      </c>
      <c r="D3" s="1"/>
      <c r="E3" s="2" t="s">
        <v>2</v>
      </c>
      <c r="F3" s="2">
        <f>MAX(0,MIN(255,IF(C17&gt;0,IF(C4&gt;=C3,C3-C18,C3+C18),IF(C17&lt;0,IF(C4&gt;=C3,C3+C18,C3-C18),C3))))</f>
        <v>123</v>
      </c>
      <c r="G3" s="1"/>
      <c r="H3" s="1"/>
    </row>
    <row r="4" spans="1:8" x14ac:dyDescent="0.3">
      <c r="A4" s="1"/>
      <c r="B4" s="2" t="s">
        <v>1</v>
      </c>
      <c r="C4" s="2">
        <v>100</v>
      </c>
      <c r="D4" s="1"/>
      <c r="E4" s="2" t="s">
        <v>3</v>
      </c>
      <c r="F4" s="2">
        <f>MAX(0,MIN(255,IF(C17&gt;0,IF(C4&gt;=C3,C4+C19,C4-C19),IF(C17&lt;0,IF(C4&gt;=C3,C4-C19,C4+C19),C4))))</f>
        <v>103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2" t="s">
        <v>4</v>
      </c>
      <c r="C7" s="2" t="s">
        <v>5</v>
      </c>
      <c r="D7" s="2" t="s">
        <v>6</v>
      </c>
      <c r="E7" s="1"/>
      <c r="F7" s="1"/>
      <c r="G7" s="1"/>
      <c r="H7" s="1"/>
    </row>
    <row r="8" spans="1:8" x14ac:dyDescent="0.3">
      <c r="A8" s="1"/>
      <c r="B8" s="2" t="s">
        <v>23</v>
      </c>
      <c r="C8" s="2">
        <f>CODE(B8)</f>
        <v>77</v>
      </c>
      <c r="D8" s="2" t="str">
        <f>DEC2BIN(C8,8)</f>
        <v>01001101</v>
      </c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2" t="s">
        <v>8</v>
      </c>
      <c r="C10" s="2">
        <f>ABS(C4-C3)</f>
        <v>25</v>
      </c>
      <c r="D10" s="1"/>
      <c r="E10" s="2" t="s">
        <v>10</v>
      </c>
      <c r="F10" s="2" t="s">
        <v>17</v>
      </c>
      <c r="G10" s="2" t="s">
        <v>18</v>
      </c>
      <c r="H10" s="1"/>
    </row>
    <row r="11" spans="1:8" x14ac:dyDescent="0.3">
      <c r="A11" s="1"/>
      <c r="B11" s="2" t="s">
        <v>9</v>
      </c>
      <c r="C11" s="2">
        <f>INDEX($G$11:$G$16,MATCH(C10,$E$11:$E$16,1))</f>
        <v>4</v>
      </c>
      <c r="D11" s="1"/>
      <c r="E11" s="2">
        <v>0</v>
      </c>
      <c r="F11" s="2">
        <v>7</v>
      </c>
      <c r="G11" s="2">
        <f>LOG(F11-E11+1,2)</f>
        <v>3</v>
      </c>
      <c r="H11" s="1"/>
    </row>
    <row r="12" spans="1:8" x14ac:dyDescent="0.3">
      <c r="A12" s="1"/>
      <c r="B12" s="2" t="s">
        <v>10</v>
      </c>
      <c r="C12" s="2">
        <f>INDEX($E$11:$E$16,MATCH(C10,$E$11:$E$16,1))</f>
        <v>16</v>
      </c>
      <c r="D12" s="1"/>
      <c r="E12" s="2">
        <v>8</v>
      </c>
      <c r="F12" s="2">
        <v>15</v>
      </c>
      <c r="G12" s="2">
        <f t="shared" ref="G12:G16" si="0">LOG(F12-E12+1,2)</f>
        <v>3</v>
      </c>
      <c r="H12" s="1"/>
    </row>
    <row r="13" spans="1:8" x14ac:dyDescent="0.3">
      <c r="A13" s="1"/>
      <c r="B13" s="2" t="s">
        <v>11</v>
      </c>
      <c r="C13" s="2" t="str">
        <f>LEFT(D8,C11)</f>
        <v>0100</v>
      </c>
      <c r="D13" s="1"/>
      <c r="E13" s="2">
        <v>16</v>
      </c>
      <c r="F13" s="2">
        <v>31</v>
      </c>
      <c r="G13" s="2">
        <f t="shared" si="0"/>
        <v>4</v>
      </c>
      <c r="H13" s="1"/>
    </row>
    <row r="14" spans="1:8" x14ac:dyDescent="0.3">
      <c r="A14" s="1"/>
      <c r="B14" s="2" t="s">
        <v>12</v>
      </c>
      <c r="C14" s="2">
        <f>BIN2DEC(C13)</f>
        <v>4</v>
      </c>
      <c r="D14" s="1"/>
      <c r="E14" s="2">
        <v>32</v>
      </c>
      <c r="F14" s="2">
        <v>63</v>
      </c>
      <c r="G14" s="2">
        <f t="shared" si="0"/>
        <v>5</v>
      </c>
      <c r="H14" s="1"/>
    </row>
    <row r="15" spans="1:8" x14ac:dyDescent="0.3">
      <c r="A15" s="1"/>
      <c r="B15" s="2" t="s">
        <v>13</v>
      </c>
      <c r="C15" s="2">
        <f>C12+C14</f>
        <v>20</v>
      </c>
      <c r="D15" s="1"/>
      <c r="E15" s="2">
        <v>64</v>
      </c>
      <c r="F15" s="2">
        <v>127</v>
      </c>
      <c r="G15" s="2">
        <f t="shared" si="0"/>
        <v>6</v>
      </c>
      <c r="H15" s="1"/>
    </row>
    <row r="16" spans="1:8" x14ac:dyDescent="0.3">
      <c r="A16" s="1"/>
      <c r="B16" s="1"/>
      <c r="C16" s="1"/>
      <c r="D16" s="1"/>
      <c r="E16" s="2">
        <v>128</v>
      </c>
      <c r="F16" s="2">
        <v>255</v>
      </c>
      <c r="G16" s="2">
        <f t="shared" si="0"/>
        <v>7</v>
      </c>
      <c r="H16" s="1"/>
    </row>
    <row r="17" spans="1:8" x14ac:dyDescent="0.3">
      <c r="A17" s="1"/>
      <c r="B17" s="2" t="s">
        <v>14</v>
      </c>
      <c r="C17" s="2">
        <f>C15-C10</f>
        <v>-5</v>
      </c>
      <c r="D17" s="1"/>
      <c r="H17" s="1"/>
    </row>
    <row r="18" spans="1:8" x14ac:dyDescent="0.3">
      <c r="A18" s="1"/>
      <c r="B18" s="2" t="s">
        <v>15</v>
      </c>
      <c r="C18" s="2">
        <f>IF(C17&lt;&gt;0,FLOOR(ABS(C17)/2,1),0)</f>
        <v>2</v>
      </c>
      <c r="D18" s="1"/>
      <c r="H18" s="1"/>
    </row>
    <row r="19" spans="1:8" x14ac:dyDescent="0.3">
      <c r="A19" s="1"/>
      <c r="B19" s="2" t="s">
        <v>16</v>
      </c>
      <c r="C19" s="2">
        <f>IF(C17&lt;&gt;0,CEILING(ABS(C17)/2,1),0)</f>
        <v>3</v>
      </c>
      <c r="D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3" t="s">
        <v>20</v>
      </c>
      <c r="C22" s="1"/>
      <c r="D22" s="1"/>
      <c r="E22" s="1"/>
      <c r="F22" s="1"/>
      <c r="G22" s="1"/>
      <c r="H22" s="1"/>
    </row>
    <row r="23" spans="1:8" x14ac:dyDescent="0.3">
      <c r="A23" s="1"/>
      <c r="B23" s="2">
        <f>MAX(0,MIN(255,IF(C17&gt;0,IF(C4&gt;=C3,C3-C18,C3+C18),IF(C17&lt;0,IF(C4&gt;=C3,C3+C18,C3-C18),C3))))</f>
        <v>123</v>
      </c>
      <c r="C23" s="2">
        <f>MAX(0,MIN(255,IF(C17&gt;0,IF(C4&gt;=C3,C4+C19,C4-C19),IF(C17&lt;0,IF(C4&gt;=C3,C4-C19,C4+C19),C4))))</f>
        <v>103</v>
      </c>
      <c r="D23" s="2">
        <f>ABS(C23-B23)</f>
        <v>20</v>
      </c>
      <c r="E23" s="2">
        <f>INDEX($E$11:$E$16,MATCH(D23,$E$11:$E$16,1))</f>
        <v>16</v>
      </c>
      <c r="F23" s="2">
        <f>D23-E23</f>
        <v>4</v>
      </c>
      <c r="G23" s="2">
        <f>INDEX($G$11:$G$16,MATCH(D23,$E$11:$E$16,1))</f>
        <v>4</v>
      </c>
      <c r="H23" s="2" t="str">
        <f>DEC2BIN(F23,G23)</f>
        <v>0100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CA97-AA0A-4F2D-A889-F74C406DA66D}">
  <dimension ref="A1:H23"/>
  <sheetViews>
    <sheetView workbookViewId="0">
      <selection sqref="A1:H23"/>
    </sheetView>
  </sheetViews>
  <sheetFormatPr defaultRowHeight="14.4" x14ac:dyDescent="0.3"/>
  <cols>
    <col min="1" max="1" width="13" customWidth="1"/>
    <col min="5" max="5" width="11.6640625" customWidth="1"/>
  </cols>
  <sheetData>
    <row r="1" spans="1:8" x14ac:dyDescent="0.3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3" t="s">
        <v>19</v>
      </c>
      <c r="C2" s="1"/>
      <c r="D2" s="1"/>
      <c r="E2" s="1"/>
      <c r="F2" s="1"/>
      <c r="G2" s="1"/>
      <c r="H2" s="1"/>
    </row>
    <row r="3" spans="1:8" x14ac:dyDescent="0.3">
      <c r="A3" s="1"/>
      <c r="B3" s="2" t="s">
        <v>0</v>
      </c>
      <c r="C3" s="2">
        <v>200</v>
      </c>
      <c r="D3" s="1"/>
      <c r="E3" s="2" t="s">
        <v>2</v>
      </c>
      <c r="F3" s="2">
        <f>MAX(0,MIN(255,IF(C17&gt;0,IF(C4&gt;=C3,C3-C18,C3+C18),IF(C17&lt;0,IF(C4&gt;=C3,C3+C18,C3-C18),C3))))</f>
        <v>204</v>
      </c>
      <c r="G3" s="1"/>
      <c r="H3" s="1"/>
    </row>
    <row r="4" spans="1:8" x14ac:dyDescent="0.3">
      <c r="A4" s="1"/>
      <c r="B4" s="2" t="s">
        <v>1</v>
      </c>
      <c r="C4" s="2">
        <v>254</v>
      </c>
      <c r="D4" s="1"/>
      <c r="E4" s="2" t="s">
        <v>3</v>
      </c>
      <c r="F4" s="2">
        <f>MAX(0,MIN(255,IF(C17&gt;0,IF(C4&gt;=C3,C4+C19,C4-C19),IF(C17&lt;0,IF(C4&gt;=C3,C4-C19,C4+C19),C4))))</f>
        <v>250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2" t="s">
        <v>4</v>
      </c>
      <c r="C7" s="2" t="s">
        <v>5</v>
      </c>
      <c r="D7" s="2" t="s">
        <v>6</v>
      </c>
      <c r="E7" s="1"/>
      <c r="F7" s="1"/>
      <c r="G7" s="1"/>
      <c r="H7" s="1"/>
    </row>
    <row r="8" spans="1:8" x14ac:dyDescent="0.3">
      <c r="A8" s="1"/>
      <c r="B8" s="2" t="s">
        <v>24</v>
      </c>
      <c r="C8" s="2">
        <f>CODE(B8)</f>
        <v>114</v>
      </c>
      <c r="D8" s="2" t="str">
        <f>DEC2BIN(C8,8)</f>
        <v>01110010</v>
      </c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2" t="s">
        <v>8</v>
      </c>
      <c r="C10" s="2">
        <f>ABS(C4-C3)</f>
        <v>54</v>
      </c>
      <c r="D10" s="1"/>
      <c r="E10" s="2" t="s">
        <v>10</v>
      </c>
      <c r="F10" s="2" t="s">
        <v>17</v>
      </c>
      <c r="G10" s="2" t="s">
        <v>18</v>
      </c>
      <c r="H10" s="1"/>
    </row>
    <row r="11" spans="1:8" x14ac:dyDescent="0.3">
      <c r="A11" s="1"/>
      <c r="B11" s="2" t="s">
        <v>9</v>
      </c>
      <c r="C11" s="2">
        <f>INDEX($G$11:$G$16,MATCH(C10,$E$11:$E$16,1))</f>
        <v>5</v>
      </c>
      <c r="D11" s="1"/>
      <c r="E11" s="2">
        <v>0</v>
      </c>
      <c r="F11" s="2">
        <v>7</v>
      </c>
      <c r="G11" s="2">
        <f>LOG(F11-E11+1,2)</f>
        <v>3</v>
      </c>
      <c r="H11" s="1"/>
    </row>
    <row r="12" spans="1:8" x14ac:dyDescent="0.3">
      <c r="A12" s="1"/>
      <c r="B12" s="2" t="s">
        <v>10</v>
      </c>
      <c r="C12" s="2">
        <f>INDEX($E$11:$E$16,MATCH(C10,$E$11:$E$16,1))</f>
        <v>32</v>
      </c>
      <c r="D12" s="1"/>
      <c r="E12" s="2">
        <v>8</v>
      </c>
      <c r="F12" s="2">
        <v>15</v>
      </c>
      <c r="G12" s="2">
        <f t="shared" ref="G12:G16" si="0">LOG(F12-E12+1,2)</f>
        <v>3</v>
      </c>
      <c r="H12" s="1"/>
    </row>
    <row r="13" spans="1:8" x14ac:dyDescent="0.3">
      <c r="A13" s="1"/>
      <c r="B13" s="2" t="s">
        <v>11</v>
      </c>
      <c r="C13" s="2" t="str">
        <f>LEFT(D8,C11)</f>
        <v>01110</v>
      </c>
      <c r="D13" s="1"/>
      <c r="E13" s="2">
        <v>16</v>
      </c>
      <c r="F13" s="2">
        <v>31</v>
      </c>
      <c r="G13" s="2">
        <f t="shared" si="0"/>
        <v>4</v>
      </c>
      <c r="H13" s="1"/>
    </row>
    <row r="14" spans="1:8" x14ac:dyDescent="0.3">
      <c r="A14" s="1"/>
      <c r="B14" s="2" t="s">
        <v>12</v>
      </c>
      <c r="C14" s="2">
        <f>BIN2DEC(C13)</f>
        <v>14</v>
      </c>
      <c r="D14" s="1"/>
      <c r="E14" s="2">
        <v>32</v>
      </c>
      <c r="F14" s="2">
        <v>63</v>
      </c>
      <c r="G14" s="2">
        <f t="shared" si="0"/>
        <v>5</v>
      </c>
      <c r="H14" s="1"/>
    </row>
    <row r="15" spans="1:8" x14ac:dyDescent="0.3">
      <c r="A15" s="1"/>
      <c r="B15" s="2" t="s">
        <v>13</v>
      </c>
      <c r="C15" s="2">
        <f>C12+C14</f>
        <v>46</v>
      </c>
      <c r="D15" s="1"/>
      <c r="E15" s="2">
        <v>64</v>
      </c>
      <c r="F15" s="2">
        <v>127</v>
      </c>
      <c r="G15" s="2">
        <f t="shared" si="0"/>
        <v>6</v>
      </c>
      <c r="H15" s="1"/>
    </row>
    <row r="16" spans="1:8" x14ac:dyDescent="0.3">
      <c r="A16" s="1"/>
      <c r="B16" s="1"/>
      <c r="C16" s="1"/>
      <c r="D16" s="1"/>
      <c r="E16" s="2">
        <v>128</v>
      </c>
      <c r="F16" s="2">
        <v>255</v>
      </c>
      <c r="G16" s="2">
        <f t="shared" si="0"/>
        <v>7</v>
      </c>
      <c r="H16" s="1"/>
    </row>
    <row r="17" spans="1:8" x14ac:dyDescent="0.3">
      <c r="A17" s="1"/>
      <c r="B17" s="2" t="s">
        <v>14</v>
      </c>
      <c r="C17" s="2">
        <f>C15-C10</f>
        <v>-8</v>
      </c>
      <c r="D17" s="1"/>
      <c r="H17" s="1"/>
    </row>
    <row r="18" spans="1:8" x14ac:dyDescent="0.3">
      <c r="A18" s="1"/>
      <c r="B18" s="2" t="s">
        <v>15</v>
      </c>
      <c r="C18" s="2">
        <f>IF(C17&lt;&gt;0,FLOOR(ABS(C17)/2,1),0)</f>
        <v>4</v>
      </c>
      <c r="D18" s="1"/>
      <c r="H18" s="1"/>
    </row>
    <row r="19" spans="1:8" x14ac:dyDescent="0.3">
      <c r="A19" s="1"/>
      <c r="B19" s="2" t="s">
        <v>16</v>
      </c>
      <c r="C19" s="2">
        <f>IF(C17&lt;&gt;0,CEILING(ABS(C17)/2,1),0)</f>
        <v>4</v>
      </c>
      <c r="D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3" t="s">
        <v>20</v>
      </c>
      <c r="C22" s="1"/>
      <c r="D22" s="1"/>
      <c r="E22" s="1"/>
      <c r="F22" s="1"/>
      <c r="G22" s="1"/>
      <c r="H22" s="1"/>
    </row>
    <row r="23" spans="1:8" x14ac:dyDescent="0.3">
      <c r="A23" s="1"/>
      <c r="B23" s="2">
        <f>MAX(0,MIN(255,IF(C17&gt;0,IF(C4&gt;=C3,C3-C18,C3+C18),IF(C17&lt;0,IF(C4&gt;=C3,C3+C18,C3-C18),C3))))</f>
        <v>204</v>
      </c>
      <c r="C23" s="2">
        <f>MAX(0,MIN(255,IF(C17&gt;0,IF(C4&gt;=C3,C4+C19,C4-C19),IF(C17&lt;0,IF(C4&gt;=C3,C4-C19,C4+C19),C4))))</f>
        <v>250</v>
      </c>
      <c r="D23" s="2">
        <f>ABS(C23-B23)</f>
        <v>46</v>
      </c>
      <c r="E23" s="2">
        <f>INDEX($E$11:$E$16,MATCH(D23,$E$11:$E$16,1))</f>
        <v>32</v>
      </c>
      <c r="F23" s="2">
        <f>D23-E23</f>
        <v>14</v>
      </c>
      <c r="G23" s="2">
        <f>INDEX($G$11:$G$16,MATCH(D23,$E$11:$E$16,1))</f>
        <v>5</v>
      </c>
      <c r="H23" s="2" t="str">
        <f>DEC2BIN(F23,G23)</f>
        <v>01110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14C4-0F9F-4A22-AAFC-4C5C124931DC}">
  <dimension ref="A1:H23"/>
  <sheetViews>
    <sheetView workbookViewId="0">
      <selection activeCell="J24" sqref="J24"/>
    </sheetView>
  </sheetViews>
  <sheetFormatPr defaultRowHeight="14.4" x14ac:dyDescent="0.3"/>
  <cols>
    <col min="1" max="1" width="13" customWidth="1"/>
    <col min="5" max="5" width="11.6640625" customWidth="1"/>
  </cols>
  <sheetData>
    <row r="1" spans="1:8" x14ac:dyDescent="0.3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3" t="s">
        <v>19</v>
      </c>
      <c r="C2" s="1"/>
      <c r="D2" s="1"/>
      <c r="E2" s="1"/>
      <c r="F2" s="1"/>
      <c r="G2" s="1"/>
      <c r="H2" s="1"/>
    </row>
    <row r="3" spans="1:8" x14ac:dyDescent="0.3">
      <c r="A3" s="1"/>
      <c r="B3" s="2" t="s">
        <v>0</v>
      </c>
      <c r="C3" s="2">
        <v>147</v>
      </c>
      <c r="D3" s="1"/>
      <c r="E3" s="2" t="s">
        <v>2</v>
      </c>
      <c r="F3" s="2">
        <f>MAX(0,MIN(255,IF(C17&gt;0,IF(C4&gt;=C3,C3-C18,C3+C18),IF(C17&lt;0,IF(C4&gt;=C3,C3+C18,C3-C18),C3))))</f>
        <v>149</v>
      </c>
      <c r="G3" s="1"/>
      <c r="H3" s="1"/>
    </row>
    <row r="4" spans="1:8" x14ac:dyDescent="0.3">
      <c r="A4" s="1"/>
      <c r="B4" s="2" t="s">
        <v>1</v>
      </c>
      <c r="C4" s="2">
        <v>235</v>
      </c>
      <c r="D4" s="1"/>
      <c r="E4" s="2" t="s">
        <v>3</v>
      </c>
      <c r="F4" s="2">
        <f>MAX(0,MIN(255,IF(C17&gt;0,IF(C4&gt;=C3,C4+C19,C4-C19),IF(C17&lt;0,IF(C4&gt;=C3,C4-C19,C4+C19),C4))))</f>
        <v>233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2" t="s">
        <v>4</v>
      </c>
      <c r="C7" s="2" t="s">
        <v>5</v>
      </c>
      <c r="D7" s="2" t="s">
        <v>6</v>
      </c>
      <c r="E7" s="1"/>
      <c r="F7" s="1"/>
      <c r="G7" s="1"/>
      <c r="H7" s="1"/>
    </row>
    <row r="8" spans="1:8" x14ac:dyDescent="0.3">
      <c r="A8" s="1"/>
      <c r="B8" s="2" t="s">
        <v>25</v>
      </c>
      <c r="C8" s="2">
        <f>CODE(B8)</f>
        <v>83</v>
      </c>
      <c r="D8" s="2" t="str">
        <f>DEC2BIN(C8,8)</f>
        <v>01010011</v>
      </c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2" t="s">
        <v>8</v>
      </c>
      <c r="C10" s="2">
        <f>ABS(C4-C3)</f>
        <v>88</v>
      </c>
      <c r="D10" s="1"/>
      <c r="E10" s="2" t="s">
        <v>10</v>
      </c>
      <c r="F10" s="2" t="s">
        <v>17</v>
      </c>
      <c r="G10" s="2" t="s">
        <v>18</v>
      </c>
      <c r="H10" s="1"/>
    </row>
    <row r="11" spans="1:8" x14ac:dyDescent="0.3">
      <c r="A11" s="1"/>
      <c r="B11" s="2" t="s">
        <v>9</v>
      </c>
      <c r="C11" s="2">
        <f>INDEX($G$11:$G$16,MATCH(C10,$E$11:$E$16,1))</f>
        <v>6</v>
      </c>
      <c r="D11" s="1"/>
      <c r="E11" s="2">
        <v>0</v>
      </c>
      <c r="F11" s="2">
        <v>7</v>
      </c>
      <c r="G11" s="2">
        <f>LOG(F11-E11+1,2)</f>
        <v>3</v>
      </c>
      <c r="H11" s="1"/>
    </row>
    <row r="12" spans="1:8" x14ac:dyDescent="0.3">
      <c r="A12" s="1"/>
      <c r="B12" s="2" t="s">
        <v>10</v>
      </c>
      <c r="C12" s="2">
        <f>INDEX($E$11:$E$16,MATCH(C10,$E$11:$E$16,1))</f>
        <v>64</v>
      </c>
      <c r="D12" s="1"/>
      <c r="E12" s="2">
        <v>8</v>
      </c>
      <c r="F12" s="2">
        <v>15</v>
      </c>
      <c r="G12" s="2">
        <f t="shared" ref="G12:G16" si="0">LOG(F12-E12+1,2)</f>
        <v>3</v>
      </c>
      <c r="H12" s="1"/>
    </row>
    <row r="13" spans="1:8" x14ac:dyDescent="0.3">
      <c r="A13" s="1"/>
      <c r="B13" s="2" t="s">
        <v>11</v>
      </c>
      <c r="C13" s="2" t="str">
        <f>LEFT(D8,C11)</f>
        <v>010100</v>
      </c>
      <c r="D13" s="1"/>
      <c r="E13" s="2">
        <v>16</v>
      </c>
      <c r="F13" s="2">
        <v>31</v>
      </c>
      <c r="G13" s="2">
        <f t="shared" si="0"/>
        <v>4</v>
      </c>
      <c r="H13" s="1"/>
    </row>
    <row r="14" spans="1:8" x14ac:dyDescent="0.3">
      <c r="A14" s="1"/>
      <c r="B14" s="2" t="s">
        <v>12</v>
      </c>
      <c r="C14" s="2">
        <f>BIN2DEC(C13)</f>
        <v>20</v>
      </c>
      <c r="D14" s="1"/>
      <c r="E14" s="2">
        <v>32</v>
      </c>
      <c r="F14" s="2">
        <v>63</v>
      </c>
      <c r="G14" s="2">
        <f t="shared" si="0"/>
        <v>5</v>
      </c>
      <c r="H14" s="1"/>
    </row>
    <row r="15" spans="1:8" x14ac:dyDescent="0.3">
      <c r="A15" s="1"/>
      <c r="B15" s="2" t="s">
        <v>13</v>
      </c>
      <c r="C15" s="2">
        <f>C12+C14</f>
        <v>84</v>
      </c>
      <c r="D15" s="1"/>
      <c r="E15" s="2">
        <v>64</v>
      </c>
      <c r="F15" s="2">
        <v>127</v>
      </c>
      <c r="G15" s="2">
        <f t="shared" si="0"/>
        <v>6</v>
      </c>
      <c r="H15" s="1"/>
    </row>
    <row r="16" spans="1:8" x14ac:dyDescent="0.3">
      <c r="A16" s="1"/>
      <c r="B16" s="1"/>
      <c r="C16" s="1"/>
      <c r="D16" s="1"/>
      <c r="E16" s="2">
        <v>128</v>
      </c>
      <c r="F16" s="2">
        <v>255</v>
      </c>
      <c r="G16" s="2">
        <f t="shared" si="0"/>
        <v>7</v>
      </c>
      <c r="H16" s="1"/>
    </row>
    <row r="17" spans="1:8" x14ac:dyDescent="0.3">
      <c r="A17" s="1"/>
      <c r="B17" s="2" t="s">
        <v>14</v>
      </c>
      <c r="C17" s="2">
        <f>C15-C10</f>
        <v>-4</v>
      </c>
      <c r="D17" s="1"/>
      <c r="H17" s="1"/>
    </row>
    <row r="18" spans="1:8" x14ac:dyDescent="0.3">
      <c r="A18" s="1"/>
      <c r="B18" s="2" t="s">
        <v>15</v>
      </c>
      <c r="C18" s="2">
        <f>IF(C17&lt;&gt;0,FLOOR(ABS(C17)/2,1),0)</f>
        <v>2</v>
      </c>
      <c r="D18" s="1"/>
      <c r="H18" s="1"/>
    </row>
    <row r="19" spans="1:8" x14ac:dyDescent="0.3">
      <c r="A19" s="1"/>
      <c r="B19" s="2" t="s">
        <v>16</v>
      </c>
      <c r="C19" s="2">
        <f>IF(C17&lt;&gt;0,CEILING(ABS(C17)/2,1),0)</f>
        <v>2</v>
      </c>
      <c r="D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3" t="s">
        <v>20</v>
      </c>
      <c r="C22" s="1"/>
      <c r="D22" s="1"/>
      <c r="E22" s="1"/>
      <c r="F22" s="1"/>
      <c r="G22" s="1"/>
      <c r="H22" s="1"/>
    </row>
    <row r="23" spans="1:8" x14ac:dyDescent="0.3">
      <c r="A23" s="1"/>
      <c r="B23" s="2">
        <f>MAX(0,MIN(255,IF(C17&gt;0,IF(C4&gt;=C3,C3-C18,C3+C18),IF(C17&lt;0,IF(C4&gt;=C3,C3+C18,C3-C18),C3))))</f>
        <v>149</v>
      </c>
      <c r="C23" s="2">
        <f>MAX(0,MIN(255,IF(C17&gt;0,IF(C4&gt;=C3,C4+C19,C4-C19),IF(C17&lt;0,IF(C4&gt;=C3,C4-C19,C4+C19),C4))))</f>
        <v>233</v>
      </c>
      <c r="D23" s="2">
        <f>ABS(C23-B23)</f>
        <v>84</v>
      </c>
      <c r="E23" s="2">
        <f>INDEX($E$11:$E$16,MATCH(D23,$E$11:$E$16,1))</f>
        <v>64</v>
      </c>
      <c r="F23" s="2">
        <f>D23-E23</f>
        <v>20</v>
      </c>
      <c r="G23" s="2">
        <f>INDEX($G$11:$G$16,MATCH(D23,$E$11:$E$16,1))</f>
        <v>6</v>
      </c>
      <c r="H23" s="2" t="str">
        <f>DEC2BIN(F23,G23)</f>
        <v>010100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E545-BD63-427B-9E81-73E4B11CAF6A}">
  <dimension ref="A1:H23"/>
  <sheetViews>
    <sheetView workbookViewId="0">
      <selection activeCell="H5" sqref="H5"/>
    </sheetView>
  </sheetViews>
  <sheetFormatPr defaultRowHeight="14.4" x14ac:dyDescent="0.3"/>
  <cols>
    <col min="1" max="1" width="13" customWidth="1"/>
    <col min="5" max="5" width="11.6640625" customWidth="1"/>
  </cols>
  <sheetData>
    <row r="1" spans="1:8" x14ac:dyDescent="0.3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3" t="s">
        <v>19</v>
      </c>
      <c r="C2" s="1"/>
      <c r="D2" s="1"/>
      <c r="E2" s="1"/>
      <c r="F2" s="1"/>
      <c r="G2" s="1"/>
      <c r="H2" s="1"/>
    </row>
    <row r="3" spans="1:8" x14ac:dyDescent="0.3">
      <c r="A3" s="1"/>
      <c r="B3" s="2" t="s">
        <v>0</v>
      </c>
      <c r="C3" s="2">
        <v>0</v>
      </c>
      <c r="D3" s="1"/>
      <c r="E3" s="2" t="s">
        <v>2</v>
      </c>
      <c r="F3" s="2">
        <f>MAX(0,MIN(255,IF(C17&gt;0,IF(C4&gt;=C3,C3-C18,C3+C18),IF(C17&lt;0,IF(C4&gt;=C3,C3+C18,C3-C18),C3))))</f>
        <v>28</v>
      </c>
      <c r="G3" s="1"/>
      <c r="H3" s="1"/>
    </row>
    <row r="4" spans="1:8" x14ac:dyDescent="0.3">
      <c r="A4" s="1"/>
      <c r="B4" s="2" t="s">
        <v>1</v>
      </c>
      <c r="C4" s="2">
        <v>200</v>
      </c>
      <c r="D4" s="1"/>
      <c r="E4" s="2" t="s">
        <v>3</v>
      </c>
      <c r="F4" s="2">
        <f>MAX(0,MIN(255,IF(C17&gt;0,IF(C4&gt;=C3,C4+C19,C4-C19),IF(C17&lt;0,IF(C4&gt;=C3,C4-C19,C4+C19),C4))))</f>
        <v>172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2" t="s">
        <v>4</v>
      </c>
      <c r="C7" s="2" t="s">
        <v>5</v>
      </c>
      <c r="D7" s="2" t="s">
        <v>6</v>
      </c>
      <c r="E7" s="1"/>
      <c r="F7" s="1"/>
      <c r="G7" s="1"/>
      <c r="H7" s="1"/>
    </row>
    <row r="8" spans="1:8" x14ac:dyDescent="0.3">
      <c r="A8" s="1"/>
      <c r="B8" s="2" t="s">
        <v>26</v>
      </c>
      <c r="C8" s="2">
        <f>CODE(B8)</f>
        <v>33</v>
      </c>
      <c r="D8" s="2" t="str">
        <f>DEC2BIN(C8,8)</f>
        <v>00100001</v>
      </c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2" t="s">
        <v>8</v>
      </c>
      <c r="C10" s="2">
        <f>ABS(C4-C3)</f>
        <v>200</v>
      </c>
      <c r="D10" s="1"/>
      <c r="E10" s="2" t="s">
        <v>10</v>
      </c>
      <c r="F10" s="2" t="s">
        <v>17</v>
      </c>
      <c r="G10" s="2" t="s">
        <v>18</v>
      </c>
      <c r="H10" s="1"/>
    </row>
    <row r="11" spans="1:8" x14ac:dyDescent="0.3">
      <c r="A11" s="1"/>
      <c r="B11" s="2" t="s">
        <v>9</v>
      </c>
      <c r="C11" s="2">
        <f>INDEX($G$11:$G$16,MATCH(C10,$E$11:$E$16,1))</f>
        <v>7</v>
      </c>
      <c r="D11" s="1"/>
      <c r="E11" s="2">
        <v>0</v>
      </c>
      <c r="F11" s="2">
        <v>7</v>
      </c>
      <c r="G11" s="2">
        <f>LOG(F11-E11+1,2)</f>
        <v>3</v>
      </c>
      <c r="H11" s="1"/>
    </row>
    <row r="12" spans="1:8" x14ac:dyDescent="0.3">
      <c r="A12" s="1"/>
      <c r="B12" s="2" t="s">
        <v>10</v>
      </c>
      <c r="C12" s="2">
        <f>INDEX($E$11:$E$16,MATCH(C10,$E$11:$E$16,1))</f>
        <v>128</v>
      </c>
      <c r="D12" s="1"/>
      <c r="E12" s="2">
        <v>8</v>
      </c>
      <c r="F12" s="2">
        <v>15</v>
      </c>
      <c r="G12" s="2">
        <f t="shared" ref="G12:G16" si="0">LOG(F12-E12+1,2)</f>
        <v>3</v>
      </c>
      <c r="H12" s="1"/>
    </row>
    <row r="13" spans="1:8" x14ac:dyDescent="0.3">
      <c r="A13" s="1"/>
      <c r="B13" s="2" t="s">
        <v>11</v>
      </c>
      <c r="C13" s="2" t="str">
        <f>LEFT(D8,C11)</f>
        <v>0010000</v>
      </c>
      <c r="D13" s="1"/>
      <c r="E13" s="2">
        <v>16</v>
      </c>
      <c r="F13" s="2">
        <v>31</v>
      </c>
      <c r="G13" s="2">
        <f t="shared" si="0"/>
        <v>4</v>
      </c>
      <c r="H13" s="1"/>
    </row>
    <row r="14" spans="1:8" x14ac:dyDescent="0.3">
      <c r="A14" s="1"/>
      <c r="B14" s="2" t="s">
        <v>12</v>
      </c>
      <c r="C14" s="2">
        <f>BIN2DEC(C13)</f>
        <v>16</v>
      </c>
      <c r="D14" s="1"/>
      <c r="E14" s="2">
        <v>32</v>
      </c>
      <c r="F14" s="2">
        <v>63</v>
      </c>
      <c r="G14" s="2">
        <f t="shared" si="0"/>
        <v>5</v>
      </c>
      <c r="H14" s="1"/>
    </row>
    <row r="15" spans="1:8" x14ac:dyDescent="0.3">
      <c r="A15" s="1"/>
      <c r="B15" s="2" t="s">
        <v>13</v>
      </c>
      <c r="C15" s="2">
        <f>C12+C14</f>
        <v>144</v>
      </c>
      <c r="D15" s="1"/>
      <c r="E15" s="2">
        <v>64</v>
      </c>
      <c r="F15" s="2">
        <v>127</v>
      </c>
      <c r="G15" s="2">
        <f t="shared" si="0"/>
        <v>6</v>
      </c>
      <c r="H15" s="1"/>
    </row>
    <row r="16" spans="1:8" x14ac:dyDescent="0.3">
      <c r="A16" s="1"/>
      <c r="B16" s="1"/>
      <c r="C16" s="1"/>
      <c r="D16" s="1"/>
      <c r="E16" s="2">
        <v>128</v>
      </c>
      <c r="F16" s="2">
        <v>255</v>
      </c>
      <c r="G16" s="2">
        <f t="shared" si="0"/>
        <v>7</v>
      </c>
      <c r="H16" s="1"/>
    </row>
    <row r="17" spans="1:8" x14ac:dyDescent="0.3">
      <c r="A17" s="1"/>
      <c r="B17" s="2" t="s">
        <v>14</v>
      </c>
      <c r="C17" s="2">
        <f>C15-C10</f>
        <v>-56</v>
      </c>
      <c r="D17" s="1"/>
      <c r="H17" s="1"/>
    </row>
    <row r="18" spans="1:8" x14ac:dyDescent="0.3">
      <c r="A18" s="1"/>
      <c r="B18" s="2" t="s">
        <v>15</v>
      </c>
      <c r="C18" s="2">
        <f>IF(C17&lt;&gt;0,FLOOR(ABS(C17)/2,1),0)</f>
        <v>28</v>
      </c>
      <c r="D18" s="1"/>
      <c r="H18" s="1"/>
    </row>
    <row r="19" spans="1:8" x14ac:dyDescent="0.3">
      <c r="A19" s="1"/>
      <c r="B19" s="2" t="s">
        <v>16</v>
      </c>
      <c r="C19" s="2">
        <f>IF(C17&lt;&gt;0,CEILING(ABS(C17)/2,1),0)</f>
        <v>28</v>
      </c>
      <c r="D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3" t="s">
        <v>20</v>
      </c>
      <c r="C22" s="1"/>
      <c r="D22" s="1"/>
      <c r="E22" s="1"/>
      <c r="F22" s="1"/>
      <c r="G22" s="1"/>
      <c r="H22" s="1"/>
    </row>
    <row r="23" spans="1:8" x14ac:dyDescent="0.3">
      <c r="A23" s="1"/>
      <c r="B23" s="2">
        <f>MAX(0,MIN(255,IF(C17&gt;0,IF(C4&gt;=C3,C3-C18,C3+C18),IF(C17&lt;0,IF(C4&gt;=C3,C3+C18,C3-C18),C3))))</f>
        <v>28</v>
      </c>
      <c r="C23" s="2">
        <f>MAX(0,MIN(255,IF(C17&gt;0,IF(C4&gt;=C3,C4+C19,C4-C19),IF(C17&lt;0,IF(C4&gt;=C3,C4-C19,C4+C19),C4))))</f>
        <v>172</v>
      </c>
      <c r="D23" s="2">
        <f>ABS(C23-B23)</f>
        <v>144</v>
      </c>
      <c r="E23" s="2">
        <f>INDEX($E$11:$E$16,MATCH(D23,$E$11:$E$16,1))</f>
        <v>128</v>
      </c>
      <c r="F23" s="2">
        <f>D23-E23</f>
        <v>16</v>
      </c>
      <c r="G23" s="2">
        <f>INDEX($G$11:$G$16,MATCH(D23,$E$11:$E$16,1))</f>
        <v>7</v>
      </c>
      <c r="H23" s="2" t="str">
        <f>DEC2BIN(F23,G23)</f>
        <v>0010000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Orig</vt:lpstr>
      <vt:lpstr>Test 1</vt:lpstr>
      <vt:lpstr>Test 2</vt:lpstr>
      <vt:lpstr>Test 3</vt:lpstr>
      <vt:lpstr>Test 4</vt:lpstr>
      <vt:lpstr>Test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Ліна Бубон</dc:creator>
  <cp:lastModifiedBy>Ліна Бубон</cp:lastModifiedBy>
  <dcterms:created xsi:type="dcterms:W3CDTF">2026-05-22T07:32:17Z</dcterms:created>
  <dcterms:modified xsi:type="dcterms:W3CDTF">2026-05-22T07:54:13Z</dcterms:modified>
</cp:coreProperties>
</file>